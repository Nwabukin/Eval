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olaalao\Downloads\"/>
    </mc:Choice>
  </mc:AlternateContent>
  <xr:revisionPtr revIDLastSave="0" documentId="8_{06CD457D-FB42-4410-9C42-92FA8C434A0B}" xr6:coauthVersionLast="47" xr6:coauthVersionMax="47" xr10:uidLastSave="{00000000-0000-0000-0000-000000000000}"/>
  <bookViews>
    <workbookView xWindow="-120" yWindow="-120" windowWidth="20730" windowHeight="11760" tabRatio="958" activeTab="1" xr2:uid="{1805A842-7705-F646-B5E0-D511A3808F8E}"/>
  </bookViews>
  <sheets>
    <sheet name="Olaide Balogun" sheetId="11" r:id="rId1"/>
    <sheet name="GENERAL" sheetId="1" r:id="rId2"/>
    <sheet name="SUCCESS FACTORS" sheetId="25" r:id="rId3"/>
    <sheet name="PAYROLL" sheetId="2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6" l="1"/>
  <c r="G3" i="26" s="1"/>
  <c r="B3" i="26"/>
  <c r="I2" i="26"/>
  <c r="I3" i="26" s="1"/>
  <c r="D2" i="26"/>
  <c r="G2" i="26" s="1"/>
  <c r="D3" i="1"/>
  <c r="G3" i="1" s="1"/>
  <c r="B3" i="1"/>
  <c r="K2" i="1"/>
  <c r="K3" i="1" s="1"/>
  <c r="D2" i="1"/>
  <c r="G2" i="1" s="1"/>
  <c r="D3" i="25"/>
  <c r="G3" i="25" s="1"/>
  <c r="B3" i="25"/>
  <c r="I2" i="25"/>
  <c r="I3" i="25" s="1"/>
  <c r="G2" i="25"/>
  <c r="D2" i="25"/>
</calcChain>
</file>

<file path=xl/sharedStrings.xml><?xml version="1.0" encoding="utf-8"?>
<sst xmlns="http://schemas.openxmlformats.org/spreadsheetml/2006/main" count="161" uniqueCount="90">
  <si>
    <t>OBJECTIVES</t>
  </si>
  <si>
    <t>S/N</t>
  </si>
  <si>
    <t>KEY PERFORMANCE INDICATORS (KPIs)</t>
  </si>
  <si>
    <t>TOTAL WEIGHT</t>
  </si>
  <si>
    <t>Objective Weight</t>
  </si>
  <si>
    <t>Score</t>
  </si>
  <si>
    <t xml:space="preserve"> WEIGHT</t>
  </si>
  <si>
    <t>PROBATION EVALUATION 2023</t>
  </si>
  <si>
    <t>Olaide Balogun</t>
  </si>
  <si>
    <t>General Evaluation</t>
  </si>
  <si>
    <t>EMPLOYEE TOTAL SCORE</t>
  </si>
  <si>
    <t>EMPLOYEE TOTAL SCORE %</t>
  </si>
  <si>
    <t>CALIBRATED SCORE</t>
  </si>
  <si>
    <t>SUPERVISOR TOTAL SCORE</t>
  </si>
  <si>
    <t>SUPERVISOR TOTAL SCORE %</t>
  </si>
  <si>
    <t>CALIBRATED SCORE %</t>
  </si>
  <si>
    <t>Employee Score</t>
  </si>
  <si>
    <t>Employee Remarks</t>
  </si>
  <si>
    <t>Supervisor Score</t>
  </si>
  <si>
    <t>Supervisor Remarks</t>
  </si>
  <si>
    <t>Calibrated Score</t>
  </si>
  <si>
    <t>I4 TENETS</t>
  </si>
  <si>
    <t>ENTER TEXT HERE</t>
  </si>
  <si>
    <t xml:space="preserve">I4nnova core values: Innovation, Impact, Integrity, Ingenuity </t>
  </si>
  <si>
    <t xml:space="preserve">TEAMWORK </t>
  </si>
  <si>
    <t xml:space="preserve">Work well with team members </t>
  </si>
  <si>
    <t>Work well with members of other teams</t>
  </si>
  <si>
    <t>Productive contributions to team efforts</t>
  </si>
  <si>
    <t>Reliability in teams</t>
  </si>
  <si>
    <t xml:space="preserve">DESIRED SOFT SKILLS </t>
  </si>
  <si>
    <r>
      <rPr>
        <b/>
        <sz val="14"/>
        <color theme="1"/>
        <rFont val="Calibri"/>
        <family val="2"/>
        <scheme val="minor"/>
      </rPr>
      <t>Leadership</t>
    </r>
    <r>
      <rPr>
        <sz val="14"/>
        <color theme="1"/>
        <rFont val="Calibri"/>
        <family val="2"/>
        <scheme val="minor"/>
      </rPr>
      <t xml:space="preserve">: Relationship building, Agility and adaptability, creativity, Decision-making, Conflict management, Negotiation, Critical Thinking, Ability to take initiative </t>
    </r>
  </si>
  <si>
    <r>
      <rPr>
        <b/>
        <sz val="14"/>
        <color theme="1"/>
        <rFont val="Calibri"/>
        <family val="2"/>
        <scheme val="minor"/>
      </rPr>
      <t>Interpersonal Skills</t>
    </r>
    <r>
      <rPr>
        <sz val="14"/>
        <color theme="1"/>
        <rFont val="Calibri"/>
        <family val="2"/>
        <scheme val="minor"/>
      </rPr>
      <t>: verbal and nonverbal communication, the ability to handle conflict, teamwork, empathy, listening, and a positive attitude. Being flexible and positive, able to listen, and communicating well are important criteria for success at work, ability to take constructive criticism</t>
    </r>
  </si>
  <si>
    <t>I4 SOCIAL ENGAGEMENTS</t>
  </si>
  <si>
    <t xml:space="preserve">Initiate and/or contribute to  team bonding ideas and activities </t>
  </si>
  <si>
    <t>ATTITUDE TO WORK</t>
  </si>
  <si>
    <r>
      <rPr>
        <b/>
        <sz val="14"/>
        <color theme="1"/>
        <rFont val="Calibri"/>
        <family val="2"/>
        <scheme val="minor"/>
      </rPr>
      <t>Punctuality</t>
    </r>
    <r>
      <rPr>
        <sz val="14"/>
        <color theme="1"/>
        <rFont val="Calibri"/>
        <family val="2"/>
        <scheme val="minor"/>
      </rPr>
      <t>: Coming in to work on or before resumption time: 8:00 am; Logging in to virtual calls on or before stipulated time</t>
    </r>
  </si>
  <si>
    <t>Success Factors Evaluation</t>
  </si>
  <si>
    <t>SUPERVISOR AVG SCORE</t>
  </si>
  <si>
    <t>Supervisor (Chinedu) Score</t>
  </si>
  <si>
    <t>Supervisor (Chinedu) Remarks</t>
  </si>
  <si>
    <t xml:space="preserve">SUCCESS FACTORS  </t>
  </si>
  <si>
    <t>Solution Demo</t>
  </si>
  <si>
    <t xml:space="preserve">Solution Configuration: Modules, Administration </t>
  </si>
  <si>
    <t xml:space="preserve">REQUIREMENT GATHERING </t>
  </si>
  <si>
    <t>Ability to facilitate requirement gathering session with client</t>
  </si>
  <si>
    <t xml:space="preserve">Fit to standard: Ability to interpret how SuccessFactors executes client process </t>
  </si>
  <si>
    <t>Effective doucmentation of requirements</t>
  </si>
  <si>
    <t>Support senior/external consultants on requirement gathering activities</t>
  </si>
  <si>
    <t>Effective workbook utilization</t>
  </si>
  <si>
    <t xml:space="preserve">UAT </t>
  </si>
  <si>
    <t>Generation of test scripts</t>
  </si>
  <si>
    <t xml:space="preserve">Ability to handle client engagement in UAT session </t>
  </si>
  <si>
    <t xml:space="preserve">TRAINING </t>
  </si>
  <si>
    <t>Generation of training manuals</t>
  </si>
  <si>
    <t xml:space="preserve">Ability to handle client engagement in Training session </t>
  </si>
  <si>
    <t xml:space="preserve">DATA MANAGEMENT </t>
  </si>
  <si>
    <t>Facilitate data template sessions with clients</t>
  </si>
  <si>
    <t xml:space="preserve">Data cleaning, validation and upload to SF systems </t>
  </si>
  <si>
    <t xml:space="preserve">Mastery of business process: EC, Compensation, PMGM </t>
  </si>
  <si>
    <t>Delivery of training session: Onboarding/Offboarding</t>
  </si>
  <si>
    <t>UAT delivery to clients: Onboarding/Offboarding</t>
  </si>
  <si>
    <t>CERTIFICATIONS</t>
  </si>
  <si>
    <t>SuccessFactors: Employee Central</t>
  </si>
  <si>
    <t xml:space="preserve">SuccessFactors: PMGM </t>
  </si>
  <si>
    <t>SuccessFactors: Compensation</t>
  </si>
  <si>
    <t>SuccessFactors: LMS</t>
  </si>
  <si>
    <t>Open SAP: Record of Achievement: Your HR Journey to the cloud</t>
  </si>
  <si>
    <t xml:space="preserve">Business Process, Support, Client session documentation </t>
  </si>
  <si>
    <t>Client engagement, relationship, support</t>
  </si>
  <si>
    <r>
      <rPr>
        <b/>
        <sz val="14"/>
        <color theme="1"/>
        <rFont val="Calibri"/>
        <family val="2"/>
        <scheme val="minor"/>
      </rPr>
      <t>Communication skills</t>
    </r>
    <r>
      <rPr>
        <sz val="14"/>
        <color theme="1"/>
        <rFont val="Calibri"/>
        <family val="2"/>
        <scheme val="minor"/>
      </rPr>
      <t xml:space="preserve">: verbal and written communication with clients, supervisors and team members  </t>
    </r>
  </si>
  <si>
    <t xml:space="preserve">Improved knowledge of  business processes </t>
  </si>
  <si>
    <t xml:space="preserve">Issue resolution research and troubleshooting </t>
  </si>
  <si>
    <t xml:space="preserve">Timely delivery of tasks with minimal to no supervision </t>
  </si>
  <si>
    <t>MS PowerPoint</t>
  </si>
  <si>
    <t>MS Excel</t>
  </si>
  <si>
    <t>MS Teams</t>
  </si>
  <si>
    <t xml:space="preserve">MS Outlook </t>
  </si>
  <si>
    <t>MS Sharepoint</t>
  </si>
  <si>
    <t>DESIRED BUSINESS CONSULTING SKILLS</t>
  </si>
  <si>
    <t>DESIRED TECH / APPLICATION SKILLS</t>
  </si>
  <si>
    <t xml:space="preserve">Proactive in task delivery and problem solving </t>
  </si>
  <si>
    <r>
      <rPr>
        <b/>
        <sz val="14"/>
        <color theme="1"/>
        <rFont val="Calibri"/>
        <family val="2"/>
        <scheme val="minor"/>
      </rPr>
      <t>Attendance:</t>
    </r>
    <r>
      <rPr>
        <sz val="14"/>
        <color theme="1"/>
        <rFont val="Calibri"/>
        <family val="2"/>
        <scheme val="minor"/>
      </rPr>
      <t xml:space="preserve"> High/Consistent Attendance, Logging in to virtual calls on or before stipulated time</t>
    </r>
  </si>
  <si>
    <r>
      <rPr>
        <b/>
        <sz val="14"/>
        <color theme="1"/>
        <rFont val="Calibri"/>
        <family val="2"/>
        <scheme val="minor"/>
      </rPr>
      <t>Personal Growth:</t>
    </r>
    <r>
      <rPr>
        <sz val="14"/>
        <color theme="1"/>
        <rFont val="Calibri"/>
        <family val="2"/>
        <scheme val="minor"/>
      </rPr>
      <t xml:space="preserve"> Proven personal effort to upkill</t>
    </r>
  </si>
  <si>
    <t>Supervisor (iyabo) Score</t>
  </si>
  <si>
    <t>Supervisor (Lola) Remarks</t>
  </si>
  <si>
    <t>Supervisor (Iyabo) Remarks</t>
  </si>
  <si>
    <t>Supervisor (Lola) Score</t>
  </si>
  <si>
    <t>Payroll Evaluation</t>
  </si>
  <si>
    <t>I4 SMART SOLUTION DEVELOPMENT</t>
  </si>
  <si>
    <t>Effective contribution to I4 smart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</si>
</sst>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wrapText="1"/>
    </xf>
    <xf numFmtId="0" fontId="0" fillId="6" borderId="0" xfId="0" applyFill="1"/>
    <xf numFmtId="0" fontId="5" fillId="2" borderId="3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5" fillId="4" borderId="3" xfId="0" applyFont="1" applyFill="1" applyBorder="1"/>
    <xf numFmtId="0" fontId="2" fillId="0" borderId="1" xfId="0" applyFont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0" xfId="0" applyFont="1" applyFill="1"/>
    <xf numFmtId="0" fontId="5" fillId="4" borderId="1" xfId="0" applyFont="1" applyFill="1" applyBorder="1"/>
    <xf numFmtId="0" fontId="8" fillId="6" borderId="0" xfId="0" applyFont="1" applyFill="1"/>
    <xf numFmtId="0" fontId="4" fillId="0" borderId="7" xfId="0" applyFont="1" applyBorder="1" applyAlignment="1">
      <alignment wrapText="1"/>
    </xf>
    <xf numFmtId="1" fontId="4" fillId="7" borderId="1" xfId="0" applyNumberFormat="1" applyFont="1" applyFill="1" applyBorder="1"/>
    <xf numFmtId="9" fontId="4" fillId="7" borderId="1" xfId="1" applyFont="1" applyFill="1" applyBorder="1"/>
    <xf numFmtId="0" fontId="6" fillId="5" borderId="1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1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0" fontId="2" fillId="0" borderId="1" xfId="0" applyFont="1" applyBorder="1" applyAlignment="1">
      <alignment horizontal="left" vertical="center" indent="1"/>
    </xf>
    <xf numFmtId="9" fontId="4" fillId="0" borderId="1" xfId="1" applyFont="1" applyFill="1" applyBorder="1"/>
    <xf numFmtId="0" fontId="5" fillId="4" borderId="1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6" fillId="5" borderId="2" xfId="0" applyFont="1" applyFill="1" applyBorder="1" applyAlignment="1">
      <alignment wrapText="1"/>
    </xf>
    <xf numFmtId="0" fontId="6" fillId="5" borderId="9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57150</xdr:rowOff>
    </xdr:from>
    <xdr:to>
      <xdr:col>14</xdr:col>
      <xdr:colOff>336724</xdr:colOff>
      <xdr:row>11</xdr:row>
      <xdr:rowOff>133535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5A5EB-026C-E141-C47B-FCFBA78A1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17"/>
        <a:stretch/>
      </xdr:blipFill>
      <xdr:spPr>
        <a:xfrm>
          <a:off x="2933700" y="57150"/>
          <a:ext cx="7004224" cy="2276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D575-1E87-4EF8-8DC9-261C874616CB}">
  <dimension ref="A1:W34"/>
  <sheetViews>
    <sheetView topLeftCell="B1" zoomScaleNormal="100" workbookViewId="0">
      <selection activeCell="N16" sqref="N16"/>
    </sheetView>
  </sheetViews>
  <sheetFormatPr defaultRowHeight="15.75" x14ac:dyDescent="0.25"/>
  <sheetData>
    <row r="1" spans="1:23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33.75" customHeight="1" x14ac:dyDescent="0.5">
      <c r="A14" s="10"/>
      <c r="B14" s="10"/>
      <c r="C14" s="10"/>
      <c r="D14" s="10"/>
      <c r="E14" s="10"/>
      <c r="F14" s="10"/>
      <c r="G14" s="68" t="s">
        <v>7</v>
      </c>
      <c r="H14" s="68"/>
      <c r="I14" s="68"/>
      <c r="J14" s="68"/>
      <c r="K14" s="68"/>
      <c r="L14" s="6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45.75" customHeight="1" x14ac:dyDescent="0.35">
      <c r="A16" s="10"/>
      <c r="B16" s="10"/>
      <c r="C16" s="10"/>
      <c r="D16" s="10"/>
      <c r="E16" s="10"/>
      <c r="F16" s="10"/>
      <c r="G16" s="10"/>
      <c r="H16" s="69" t="s">
        <v>8</v>
      </c>
      <c r="I16" s="69"/>
      <c r="J16" s="69"/>
      <c r="K16" s="69"/>
      <c r="L16" s="1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2">
    <mergeCell ref="G14:L14"/>
    <mergeCell ref="H16:K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B69D-BF93-C54C-BD98-E511A9FF134F}">
  <dimension ref="A1:K140"/>
  <sheetViews>
    <sheetView tabSelected="1" zoomScale="70" zoomScaleNormal="70" workbookViewId="0">
      <selection activeCell="B12" sqref="B12"/>
    </sheetView>
  </sheetViews>
  <sheetFormatPr defaultColWidth="11.25" defaultRowHeight="15.75" x14ac:dyDescent="0.25"/>
  <cols>
    <col min="1" max="1" width="4.625" customWidth="1"/>
    <col min="2" max="2" width="43.75" style="2" customWidth="1"/>
    <col min="3" max="3" width="73.125" style="2" customWidth="1"/>
    <col min="4" max="4" width="14.25" customWidth="1"/>
    <col min="5" max="5" width="15.5" customWidth="1"/>
    <col min="6" max="6" width="23.625" customWidth="1"/>
    <col min="7" max="7" width="15.625" customWidth="1"/>
    <col min="8" max="8" width="33" customWidth="1"/>
    <col min="9" max="9" width="15.625" customWidth="1"/>
    <col min="10" max="10" width="28.125" customWidth="1"/>
    <col min="11" max="11" width="21.75" customWidth="1"/>
  </cols>
  <sheetData>
    <row r="1" spans="1:11" ht="25.9" customHeight="1" x14ac:dyDescent="0.4">
      <c r="A1" s="46" t="s">
        <v>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25.9" customHeight="1" x14ac:dyDescent="0.4">
      <c r="A2" s="19"/>
      <c r="B2" s="12" t="s">
        <v>3</v>
      </c>
      <c r="C2" s="12" t="s">
        <v>10</v>
      </c>
      <c r="D2" s="20">
        <f>SUM(E5:E35)</f>
        <v>0</v>
      </c>
      <c r="E2" s="48" t="s">
        <v>11</v>
      </c>
      <c r="F2" s="49"/>
      <c r="G2" s="21">
        <f>D2/B3</f>
        <v>0</v>
      </c>
      <c r="H2" s="27"/>
      <c r="I2" s="75" t="s">
        <v>12</v>
      </c>
      <c r="J2" s="76"/>
      <c r="K2" s="20">
        <f>K5+K7+K12+K16+K19+K22+K23+K29+K31+K35</f>
        <v>0</v>
      </c>
    </row>
    <row r="3" spans="1:11" ht="25.9" customHeight="1" x14ac:dyDescent="0.4">
      <c r="A3" s="23"/>
      <c r="B3" s="24">
        <f>D5+D7+D12+D16+D19+D22+D23+D29+D31+D35</f>
        <v>100</v>
      </c>
      <c r="C3" s="12" t="s">
        <v>37</v>
      </c>
      <c r="D3" s="25">
        <f>(SUM(G5:G35))+(SUM(I5:I35))/2</f>
        <v>0</v>
      </c>
      <c r="E3" s="48" t="s">
        <v>14</v>
      </c>
      <c r="F3" s="49"/>
      <c r="G3" s="21">
        <f>D3/B3</f>
        <v>0</v>
      </c>
      <c r="H3" s="27"/>
      <c r="I3" s="75" t="s">
        <v>15</v>
      </c>
      <c r="J3" s="76"/>
      <c r="K3" s="21">
        <f>K2/B3</f>
        <v>0</v>
      </c>
    </row>
    <row r="4" spans="1:11" s="2" customFormat="1" ht="42" x14ac:dyDescent="0.35">
      <c r="A4" s="15" t="s">
        <v>1</v>
      </c>
      <c r="B4" s="11" t="s">
        <v>0</v>
      </c>
      <c r="C4" s="11" t="s">
        <v>2</v>
      </c>
      <c r="D4" s="15" t="s">
        <v>6</v>
      </c>
      <c r="E4" s="15" t="s">
        <v>16</v>
      </c>
      <c r="F4" s="28" t="s">
        <v>17</v>
      </c>
      <c r="G4" s="29" t="s">
        <v>83</v>
      </c>
      <c r="H4" s="28" t="s">
        <v>85</v>
      </c>
      <c r="I4" s="29" t="s">
        <v>86</v>
      </c>
      <c r="J4" s="28" t="s">
        <v>84</v>
      </c>
      <c r="K4" s="28" t="s">
        <v>20</v>
      </c>
    </row>
    <row r="5" spans="1:11" ht="26.25" customHeight="1" x14ac:dyDescent="0.3">
      <c r="A5" s="1">
        <v>1</v>
      </c>
      <c r="B5" s="5" t="s">
        <v>21</v>
      </c>
      <c r="C5" s="3"/>
      <c r="D5" s="50">
        <v>10</v>
      </c>
      <c r="E5" s="53">
        <v>0</v>
      </c>
      <c r="F5" s="56" t="s">
        <v>22</v>
      </c>
      <c r="G5" s="59">
        <v>0</v>
      </c>
      <c r="H5" s="62" t="s">
        <v>22</v>
      </c>
      <c r="I5" s="59">
        <v>0</v>
      </c>
      <c r="J5" s="62" t="s">
        <v>22</v>
      </c>
      <c r="K5" s="65">
        <v>0</v>
      </c>
    </row>
    <row r="6" spans="1:11" ht="26.25" customHeight="1" x14ac:dyDescent="0.3">
      <c r="A6" s="1"/>
      <c r="B6" s="3"/>
      <c r="C6" s="3" t="s">
        <v>23</v>
      </c>
      <c r="D6" s="52"/>
      <c r="E6" s="55"/>
      <c r="F6" s="58"/>
      <c r="G6" s="61"/>
      <c r="H6" s="64"/>
      <c r="I6" s="61"/>
      <c r="J6" s="64"/>
      <c r="K6" s="67"/>
    </row>
    <row r="7" spans="1:11" ht="26.25" customHeight="1" x14ac:dyDescent="0.3">
      <c r="A7" s="1">
        <v>2</v>
      </c>
      <c r="B7" s="6" t="s">
        <v>24</v>
      </c>
      <c r="C7" s="3"/>
      <c r="D7" s="50">
        <v>10</v>
      </c>
      <c r="E7" s="53">
        <v>0</v>
      </c>
      <c r="F7" s="56" t="s">
        <v>22</v>
      </c>
      <c r="G7" s="59">
        <v>0</v>
      </c>
      <c r="H7" s="62" t="s">
        <v>22</v>
      </c>
      <c r="I7" s="59">
        <v>0</v>
      </c>
      <c r="J7" s="62" t="s">
        <v>22</v>
      </c>
      <c r="K7" s="65">
        <v>0</v>
      </c>
    </row>
    <row r="8" spans="1:11" ht="26.25" customHeight="1" x14ac:dyDescent="0.3">
      <c r="A8" s="34"/>
      <c r="B8" s="36"/>
      <c r="C8" s="3" t="s">
        <v>25</v>
      </c>
      <c r="D8" s="51"/>
      <c r="E8" s="54"/>
      <c r="F8" s="57"/>
      <c r="G8" s="60"/>
      <c r="H8" s="63"/>
      <c r="I8" s="60"/>
      <c r="J8" s="63"/>
      <c r="K8" s="66"/>
    </row>
    <row r="9" spans="1:11" ht="26.25" customHeight="1" x14ac:dyDescent="0.3">
      <c r="A9" s="70"/>
      <c r="B9" s="74"/>
      <c r="C9" s="3" t="s">
        <v>26</v>
      </c>
      <c r="D9" s="51"/>
      <c r="E9" s="54"/>
      <c r="F9" s="57"/>
      <c r="G9" s="60"/>
      <c r="H9" s="63"/>
      <c r="I9" s="60"/>
      <c r="J9" s="63"/>
      <c r="K9" s="66"/>
    </row>
    <row r="10" spans="1:11" ht="26.25" customHeight="1" x14ac:dyDescent="0.3">
      <c r="A10" s="70"/>
      <c r="B10" s="74"/>
      <c r="C10" s="3" t="s">
        <v>27</v>
      </c>
      <c r="D10" s="51"/>
      <c r="E10" s="54"/>
      <c r="F10" s="57"/>
      <c r="G10" s="60"/>
      <c r="H10" s="63"/>
      <c r="I10" s="60"/>
      <c r="J10" s="63"/>
      <c r="K10" s="66"/>
    </row>
    <row r="11" spans="1:11" ht="26.25" customHeight="1" x14ac:dyDescent="0.3">
      <c r="A11" s="70"/>
      <c r="B11" s="74"/>
      <c r="C11" s="3" t="s">
        <v>28</v>
      </c>
      <c r="D11" s="51"/>
      <c r="E11" s="54"/>
      <c r="F11" s="58"/>
      <c r="G11" s="61"/>
      <c r="H11" s="63"/>
      <c r="I11" s="61"/>
      <c r="J11" s="64"/>
      <c r="K11" s="66"/>
    </row>
    <row r="12" spans="1:11" ht="26.25" customHeight="1" x14ac:dyDescent="0.3">
      <c r="A12" s="1">
        <v>3</v>
      </c>
      <c r="B12" s="5" t="s">
        <v>29</v>
      </c>
      <c r="C12" s="9"/>
      <c r="D12" s="50">
        <v>10</v>
      </c>
      <c r="E12" s="53">
        <v>0</v>
      </c>
      <c r="F12" s="56" t="s">
        <v>22</v>
      </c>
      <c r="G12" s="59">
        <v>0</v>
      </c>
      <c r="H12" s="62" t="s">
        <v>22</v>
      </c>
      <c r="I12" s="59">
        <v>0</v>
      </c>
      <c r="J12" s="62" t="s">
        <v>22</v>
      </c>
      <c r="K12" s="65">
        <v>0</v>
      </c>
    </row>
    <row r="13" spans="1:11" ht="56.25" x14ac:dyDescent="0.3">
      <c r="A13" s="70"/>
      <c r="B13" s="74"/>
      <c r="C13" s="9" t="s">
        <v>30</v>
      </c>
      <c r="D13" s="51"/>
      <c r="E13" s="54"/>
      <c r="F13" s="57"/>
      <c r="G13" s="60"/>
      <c r="H13" s="63"/>
      <c r="I13" s="60"/>
      <c r="J13" s="63"/>
      <c r="K13" s="66"/>
    </row>
    <row r="14" spans="1:11" ht="93.75" x14ac:dyDescent="0.3">
      <c r="A14" s="70"/>
      <c r="B14" s="74"/>
      <c r="C14" s="9" t="s">
        <v>31</v>
      </c>
      <c r="D14" s="51"/>
      <c r="E14" s="54"/>
      <c r="F14" s="57"/>
      <c r="G14" s="60"/>
      <c r="H14" s="63"/>
      <c r="I14" s="60"/>
      <c r="J14" s="63"/>
      <c r="K14" s="66"/>
    </row>
    <row r="15" spans="1:11" ht="41.25" customHeight="1" x14ac:dyDescent="0.3">
      <c r="A15" s="70"/>
      <c r="B15" s="74"/>
      <c r="C15" s="9" t="s">
        <v>69</v>
      </c>
      <c r="D15" s="51"/>
      <c r="E15" s="54"/>
      <c r="F15" s="58"/>
      <c r="G15" s="61"/>
      <c r="H15" s="63"/>
      <c r="I15" s="61"/>
      <c r="J15" s="64"/>
      <c r="K15" s="66"/>
    </row>
    <row r="16" spans="1:11" ht="26.25" customHeight="1" x14ac:dyDescent="0.3">
      <c r="A16" s="1">
        <v>4</v>
      </c>
      <c r="B16" s="6" t="s">
        <v>78</v>
      </c>
      <c r="C16" s="9"/>
      <c r="D16" s="50">
        <v>20</v>
      </c>
      <c r="E16" s="53">
        <v>0</v>
      </c>
      <c r="F16" s="56" t="s">
        <v>22</v>
      </c>
      <c r="G16" s="59">
        <v>0</v>
      </c>
      <c r="H16" s="62" t="s">
        <v>22</v>
      </c>
      <c r="I16" s="59">
        <v>0</v>
      </c>
      <c r="J16" s="62" t="s">
        <v>22</v>
      </c>
      <c r="K16" s="65">
        <v>0</v>
      </c>
    </row>
    <row r="17" spans="1:11" ht="18.75" customHeight="1" x14ac:dyDescent="0.3">
      <c r="A17" s="34"/>
      <c r="B17" s="71"/>
      <c r="C17" s="9" t="s">
        <v>68</v>
      </c>
      <c r="D17" s="51"/>
      <c r="E17" s="54"/>
      <c r="F17" s="57"/>
      <c r="G17" s="60"/>
      <c r="H17" s="63"/>
      <c r="I17" s="60"/>
      <c r="J17" s="63"/>
      <c r="K17" s="66"/>
    </row>
    <row r="18" spans="1:11" ht="18.75" customHeight="1" x14ac:dyDescent="0.3">
      <c r="A18" s="70"/>
      <c r="B18" s="72"/>
      <c r="C18" s="9" t="s">
        <v>67</v>
      </c>
      <c r="D18" s="51"/>
      <c r="E18" s="54"/>
      <c r="F18" s="57"/>
      <c r="G18" s="60"/>
      <c r="H18" s="63"/>
      <c r="I18" s="60"/>
      <c r="J18" s="63"/>
      <c r="K18" s="66"/>
    </row>
    <row r="19" spans="1:11" ht="26.25" customHeight="1" x14ac:dyDescent="0.3">
      <c r="A19" s="70"/>
      <c r="B19" s="72"/>
      <c r="C19" s="3" t="s">
        <v>72</v>
      </c>
      <c r="D19" s="51"/>
      <c r="E19" s="54"/>
      <c r="F19" s="57"/>
      <c r="G19" s="60"/>
      <c r="H19" s="63"/>
      <c r="I19" s="60"/>
      <c r="J19" s="63"/>
      <c r="K19" s="66"/>
    </row>
    <row r="20" spans="1:11" ht="26.25" customHeight="1" x14ac:dyDescent="0.3">
      <c r="A20" s="70"/>
      <c r="B20" s="72"/>
      <c r="C20" s="3" t="s">
        <v>80</v>
      </c>
      <c r="D20" s="51"/>
      <c r="E20" s="54"/>
      <c r="F20" s="57"/>
      <c r="G20" s="60"/>
      <c r="H20" s="63"/>
      <c r="I20" s="60"/>
      <c r="J20" s="63"/>
      <c r="K20" s="66"/>
    </row>
    <row r="21" spans="1:11" ht="18.75" customHeight="1" x14ac:dyDescent="0.3">
      <c r="A21" s="70"/>
      <c r="B21" s="72"/>
      <c r="C21" s="3" t="s">
        <v>70</v>
      </c>
      <c r="D21" s="51"/>
      <c r="E21" s="54"/>
      <c r="F21" s="57"/>
      <c r="G21" s="60"/>
      <c r="H21" s="63"/>
      <c r="I21" s="60"/>
      <c r="J21" s="63"/>
      <c r="K21" s="66"/>
    </row>
    <row r="22" spans="1:11" ht="26.25" customHeight="1" x14ac:dyDescent="0.3">
      <c r="A22" s="35"/>
      <c r="B22" s="73"/>
      <c r="C22" s="4" t="s">
        <v>71</v>
      </c>
      <c r="D22" s="52"/>
      <c r="E22" s="55"/>
      <c r="F22" s="58"/>
      <c r="G22" s="61"/>
      <c r="H22" s="64"/>
      <c r="I22" s="61"/>
      <c r="J22" s="64"/>
      <c r="K22" s="67"/>
    </row>
    <row r="23" spans="1:11" ht="26.25" customHeight="1" x14ac:dyDescent="0.3">
      <c r="A23" s="1">
        <v>7</v>
      </c>
      <c r="B23" s="5" t="s">
        <v>79</v>
      </c>
      <c r="C23" s="9"/>
      <c r="D23" s="50">
        <v>10</v>
      </c>
      <c r="E23" s="53">
        <v>0</v>
      </c>
      <c r="F23" s="56" t="s">
        <v>22</v>
      </c>
      <c r="G23" s="59">
        <v>0</v>
      </c>
      <c r="H23" s="62" t="s">
        <v>22</v>
      </c>
      <c r="I23" s="59">
        <v>0</v>
      </c>
      <c r="J23" s="62" t="s">
        <v>22</v>
      </c>
      <c r="K23" s="65">
        <v>0</v>
      </c>
    </row>
    <row r="24" spans="1:11" ht="26.25" customHeight="1" x14ac:dyDescent="0.3">
      <c r="A24" s="34"/>
      <c r="B24" s="36"/>
      <c r="C24" s="9" t="s">
        <v>73</v>
      </c>
      <c r="D24" s="51"/>
      <c r="E24" s="54"/>
      <c r="F24" s="57"/>
      <c r="G24" s="60"/>
      <c r="H24" s="63"/>
      <c r="I24" s="60"/>
      <c r="J24" s="63"/>
      <c r="K24" s="66"/>
    </row>
    <row r="25" spans="1:11" ht="26.25" customHeight="1" x14ac:dyDescent="0.3">
      <c r="A25" s="70"/>
      <c r="B25" s="74"/>
      <c r="C25" s="9" t="s">
        <v>77</v>
      </c>
      <c r="D25" s="51"/>
      <c r="E25" s="54"/>
      <c r="F25" s="57"/>
      <c r="G25" s="60"/>
      <c r="H25" s="63"/>
      <c r="I25" s="60"/>
      <c r="J25" s="63"/>
      <c r="K25" s="66"/>
    </row>
    <row r="26" spans="1:11" ht="26.25" customHeight="1" x14ac:dyDescent="0.3">
      <c r="A26" s="70"/>
      <c r="B26" s="74"/>
      <c r="C26" s="9" t="s">
        <v>76</v>
      </c>
      <c r="D26" s="51"/>
      <c r="E26" s="54"/>
      <c r="F26" s="57"/>
      <c r="G26" s="60"/>
      <c r="H26" s="63"/>
      <c r="I26" s="60"/>
      <c r="J26" s="63"/>
      <c r="K26" s="66"/>
    </row>
    <row r="27" spans="1:11" ht="26.25" customHeight="1" x14ac:dyDescent="0.3">
      <c r="A27" s="70"/>
      <c r="B27" s="74"/>
      <c r="C27" s="9" t="s">
        <v>75</v>
      </c>
      <c r="D27" s="51"/>
      <c r="E27" s="54"/>
      <c r="F27" s="57"/>
      <c r="G27" s="60"/>
      <c r="H27" s="63"/>
      <c r="I27" s="60"/>
      <c r="J27" s="63"/>
      <c r="K27" s="66"/>
    </row>
    <row r="28" spans="1:11" ht="18.75" x14ac:dyDescent="0.3">
      <c r="A28" s="35"/>
      <c r="B28" s="37"/>
      <c r="C28" s="9" t="s">
        <v>74</v>
      </c>
      <c r="D28" s="51"/>
      <c r="E28" s="54"/>
      <c r="F28" s="58"/>
      <c r="G28" s="61"/>
      <c r="H28" s="63"/>
      <c r="I28" s="61"/>
      <c r="J28" s="64"/>
      <c r="K28" s="66"/>
    </row>
    <row r="29" spans="1:11" ht="26.25" customHeight="1" x14ac:dyDescent="0.3">
      <c r="A29" s="1">
        <v>8</v>
      </c>
      <c r="B29" s="5" t="s">
        <v>32</v>
      </c>
      <c r="C29" s="9"/>
      <c r="D29" s="50">
        <v>10</v>
      </c>
      <c r="E29" s="53">
        <v>0</v>
      </c>
      <c r="F29" s="56" t="s">
        <v>22</v>
      </c>
      <c r="G29" s="59">
        <v>0</v>
      </c>
      <c r="H29" s="62" t="s">
        <v>22</v>
      </c>
      <c r="I29" s="59">
        <v>0</v>
      </c>
      <c r="J29" s="62" t="s">
        <v>22</v>
      </c>
      <c r="K29" s="65">
        <v>0</v>
      </c>
    </row>
    <row r="30" spans="1:11" ht="26.25" customHeight="1" x14ac:dyDescent="0.3">
      <c r="A30" s="8"/>
      <c r="B30" s="7"/>
      <c r="C30" s="9" t="s">
        <v>33</v>
      </c>
      <c r="D30" s="51"/>
      <c r="E30" s="54"/>
      <c r="F30" s="58"/>
      <c r="G30" s="61"/>
      <c r="H30" s="64"/>
      <c r="I30" s="61"/>
      <c r="J30" s="64"/>
      <c r="K30" s="66"/>
    </row>
    <row r="31" spans="1:11" ht="26.25" customHeight="1" x14ac:dyDescent="0.3">
      <c r="A31" s="1">
        <v>9</v>
      </c>
      <c r="B31" s="5" t="s">
        <v>34</v>
      </c>
      <c r="C31" s="9"/>
      <c r="D31" s="50">
        <v>10</v>
      </c>
      <c r="E31" s="53">
        <v>0</v>
      </c>
      <c r="F31" s="56" t="s">
        <v>22</v>
      </c>
      <c r="G31" s="59">
        <v>0</v>
      </c>
      <c r="H31" s="62" t="s">
        <v>22</v>
      </c>
      <c r="I31" s="59">
        <v>0</v>
      </c>
      <c r="J31" s="62" t="s">
        <v>22</v>
      </c>
      <c r="K31" s="65">
        <v>0</v>
      </c>
    </row>
    <row r="32" spans="1:11" ht="37.5" x14ac:dyDescent="0.3">
      <c r="A32" s="34"/>
      <c r="B32" s="36"/>
      <c r="C32" s="9" t="s">
        <v>35</v>
      </c>
      <c r="D32" s="51"/>
      <c r="E32" s="54"/>
      <c r="F32" s="57"/>
      <c r="G32" s="60"/>
      <c r="H32" s="63"/>
      <c r="I32" s="60"/>
      <c r="J32" s="63"/>
      <c r="K32" s="66"/>
    </row>
    <row r="33" spans="1:11" ht="37.5" x14ac:dyDescent="0.3">
      <c r="A33" s="70"/>
      <c r="B33" s="74"/>
      <c r="C33" s="9" t="s">
        <v>81</v>
      </c>
      <c r="D33" s="51"/>
      <c r="E33" s="54"/>
      <c r="F33" s="57"/>
      <c r="G33" s="60"/>
      <c r="H33" s="63"/>
      <c r="I33" s="60"/>
      <c r="J33" s="63"/>
      <c r="K33" s="66"/>
    </row>
    <row r="34" spans="1:11" ht="18.75" x14ac:dyDescent="0.3">
      <c r="A34" s="35"/>
      <c r="B34" s="37"/>
      <c r="C34" s="9" t="s">
        <v>82</v>
      </c>
      <c r="D34" s="52"/>
      <c r="E34" s="55"/>
      <c r="F34" s="58"/>
      <c r="G34" s="61"/>
      <c r="H34" s="64"/>
      <c r="I34" s="61"/>
      <c r="J34" s="64"/>
      <c r="K34" s="67"/>
    </row>
    <row r="35" spans="1:11" ht="18.75" x14ac:dyDescent="0.3">
      <c r="A35" s="1">
        <v>10</v>
      </c>
      <c r="B35" s="5" t="s">
        <v>61</v>
      </c>
      <c r="C35" s="3"/>
      <c r="D35" s="50">
        <v>20</v>
      </c>
      <c r="E35" s="53">
        <v>0</v>
      </c>
      <c r="F35" s="56" t="s">
        <v>22</v>
      </c>
      <c r="G35" s="59">
        <v>0</v>
      </c>
      <c r="H35" s="62" t="s">
        <v>22</v>
      </c>
      <c r="I35" s="59">
        <v>0</v>
      </c>
      <c r="J35" s="62" t="s">
        <v>22</v>
      </c>
      <c r="K35" s="65">
        <v>0</v>
      </c>
    </row>
    <row r="36" spans="1:11" ht="18.75" x14ac:dyDescent="0.3">
      <c r="A36" s="34"/>
      <c r="B36" s="36"/>
      <c r="C36" s="3" t="s">
        <v>66</v>
      </c>
      <c r="D36" s="51"/>
      <c r="E36" s="54"/>
      <c r="F36" s="57"/>
      <c r="G36" s="60"/>
      <c r="H36" s="63"/>
      <c r="I36" s="60"/>
      <c r="J36" s="63"/>
      <c r="K36" s="66"/>
    </row>
    <row r="37" spans="1:11" ht="18.75" x14ac:dyDescent="0.3">
      <c r="A37" s="70"/>
      <c r="B37" s="74"/>
      <c r="C37" s="3" t="s">
        <v>62</v>
      </c>
      <c r="D37" s="51"/>
      <c r="E37" s="54"/>
      <c r="F37" s="57"/>
      <c r="G37" s="60"/>
      <c r="H37" s="63"/>
      <c r="I37" s="60"/>
      <c r="J37" s="63"/>
      <c r="K37" s="66"/>
    </row>
    <row r="38" spans="1:11" ht="18.75" x14ac:dyDescent="0.3">
      <c r="A38" s="70"/>
      <c r="B38" s="74"/>
      <c r="C38" s="3" t="s">
        <v>63</v>
      </c>
      <c r="D38" s="51"/>
      <c r="E38" s="54"/>
      <c r="F38" s="57"/>
      <c r="G38" s="60"/>
      <c r="H38" s="63"/>
      <c r="I38" s="60"/>
      <c r="J38" s="63"/>
      <c r="K38" s="66"/>
    </row>
    <row r="39" spans="1:11" ht="18.75" x14ac:dyDescent="0.3">
      <c r="A39" s="70"/>
      <c r="B39" s="74"/>
      <c r="C39" s="3" t="s">
        <v>64</v>
      </c>
      <c r="D39" s="51"/>
      <c r="E39" s="54"/>
      <c r="F39" s="57"/>
      <c r="G39" s="60"/>
      <c r="H39" s="63"/>
      <c r="I39" s="60"/>
      <c r="J39" s="63"/>
      <c r="K39" s="66"/>
    </row>
    <row r="40" spans="1:11" ht="18.75" x14ac:dyDescent="0.3">
      <c r="A40" s="35"/>
      <c r="B40" s="37"/>
      <c r="C40" s="3" t="s">
        <v>65</v>
      </c>
      <c r="D40" s="52"/>
      <c r="E40" s="55"/>
      <c r="F40" s="58"/>
      <c r="G40" s="61"/>
      <c r="H40" s="64"/>
      <c r="I40" s="61"/>
      <c r="J40" s="64"/>
      <c r="K40" s="67"/>
    </row>
    <row r="129" spans="2:3" x14ac:dyDescent="0.25">
      <c r="B129" s="2" t="s">
        <v>4</v>
      </c>
      <c r="C129" s="2" t="s">
        <v>5</v>
      </c>
    </row>
    <row r="131" spans="2:3" x14ac:dyDescent="0.25">
      <c r="B131" s="2">
        <v>1</v>
      </c>
      <c r="C131" s="2">
        <v>1</v>
      </c>
    </row>
    <row r="132" spans="2:3" x14ac:dyDescent="0.25">
      <c r="B132" s="2">
        <v>2</v>
      </c>
      <c r="C132" s="2">
        <v>2</v>
      </c>
    </row>
    <row r="133" spans="2:3" x14ac:dyDescent="0.25">
      <c r="B133" s="2">
        <v>3</v>
      </c>
      <c r="C133" s="2">
        <v>3</v>
      </c>
    </row>
    <row r="134" spans="2:3" x14ac:dyDescent="0.25">
      <c r="B134" s="2">
        <v>4</v>
      </c>
      <c r="C134" s="2">
        <v>4</v>
      </c>
    </row>
    <row r="135" spans="2:3" x14ac:dyDescent="0.25">
      <c r="B135" s="2">
        <v>5</v>
      </c>
      <c r="C135" s="2">
        <v>5</v>
      </c>
    </row>
    <row r="136" spans="2:3" x14ac:dyDescent="0.25">
      <c r="B136" s="2">
        <v>6</v>
      </c>
      <c r="C136" s="2">
        <v>6</v>
      </c>
    </row>
    <row r="137" spans="2:3" x14ac:dyDescent="0.25">
      <c r="B137" s="2">
        <v>7</v>
      </c>
      <c r="C137" s="2">
        <v>7</v>
      </c>
    </row>
    <row r="138" spans="2:3" x14ac:dyDescent="0.25">
      <c r="B138" s="2">
        <v>8</v>
      </c>
      <c r="C138" s="2">
        <v>8</v>
      </c>
    </row>
    <row r="139" spans="2:3" x14ac:dyDescent="0.25">
      <c r="B139" s="2">
        <v>9</v>
      </c>
      <c r="C139" s="2">
        <v>9</v>
      </c>
    </row>
    <row r="140" spans="2:3" x14ac:dyDescent="0.25">
      <c r="B140" s="2">
        <v>10</v>
      </c>
      <c r="C140" s="2">
        <v>10</v>
      </c>
    </row>
  </sheetData>
  <mergeCells count="81">
    <mergeCell ref="K31:K34"/>
    <mergeCell ref="J35:J40"/>
    <mergeCell ref="K35:K40"/>
    <mergeCell ref="B24:B28"/>
    <mergeCell ref="A36:A40"/>
    <mergeCell ref="B36:B40"/>
    <mergeCell ref="F35:F40"/>
    <mergeCell ref="B32:B34"/>
    <mergeCell ref="A24:A28"/>
    <mergeCell ref="A32:A34"/>
    <mergeCell ref="F23:F28"/>
    <mergeCell ref="E23:E28"/>
    <mergeCell ref="D23:D28"/>
    <mergeCell ref="D35:D40"/>
    <mergeCell ref="E35:E40"/>
    <mergeCell ref="D31:D34"/>
    <mergeCell ref="F29:F30"/>
    <mergeCell ref="J7:J11"/>
    <mergeCell ref="K7:K11"/>
    <mergeCell ref="J12:J15"/>
    <mergeCell ref="K12:K15"/>
    <mergeCell ref="J23:J28"/>
    <mergeCell ref="K23:K28"/>
    <mergeCell ref="K16:K22"/>
    <mergeCell ref="I7:I11"/>
    <mergeCell ref="G12:G15"/>
    <mergeCell ref="H12:H15"/>
    <mergeCell ref="I12:I15"/>
    <mergeCell ref="G7:G11"/>
    <mergeCell ref="H7:H11"/>
    <mergeCell ref="A1:K1"/>
    <mergeCell ref="I2:J2"/>
    <mergeCell ref="I3:J3"/>
    <mergeCell ref="J5:J6"/>
    <mergeCell ref="K5:K6"/>
    <mergeCell ref="D5:D6"/>
    <mergeCell ref="E5:E6"/>
    <mergeCell ref="E2:F2"/>
    <mergeCell ref="E3:F3"/>
    <mergeCell ref="G5:G6"/>
    <mergeCell ref="H5:H6"/>
    <mergeCell ref="I5:I6"/>
    <mergeCell ref="F5:F6"/>
    <mergeCell ref="A8:A11"/>
    <mergeCell ref="B8:B11"/>
    <mergeCell ref="D12:D15"/>
    <mergeCell ref="E12:E15"/>
    <mergeCell ref="F12:F15"/>
    <mergeCell ref="A13:A15"/>
    <mergeCell ref="B13:B15"/>
    <mergeCell ref="D7:D11"/>
    <mergeCell ref="E7:E11"/>
    <mergeCell ref="F7:F11"/>
    <mergeCell ref="G35:G40"/>
    <mergeCell ref="H35:H40"/>
    <mergeCell ref="I35:I40"/>
    <mergeCell ref="G23:G28"/>
    <mergeCell ref="H23:H28"/>
    <mergeCell ref="I23:I28"/>
    <mergeCell ref="G29:G30"/>
    <mergeCell ref="H29:H30"/>
    <mergeCell ref="I29:I30"/>
    <mergeCell ref="I31:I34"/>
    <mergeCell ref="G31:G34"/>
    <mergeCell ref="H31:H34"/>
    <mergeCell ref="J29:J30"/>
    <mergeCell ref="K29:K30"/>
    <mergeCell ref="J31:J34"/>
    <mergeCell ref="A17:A22"/>
    <mergeCell ref="G16:G22"/>
    <mergeCell ref="H16:H22"/>
    <mergeCell ref="I16:I22"/>
    <mergeCell ref="J16:J22"/>
    <mergeCell ref="B17:B22"/>
    <mergeCell ref="D16:D22"/>
    <mergeCell ref="E16:E22"/>
    <mergeCell ref="F16:F22"/>
    <mergeCell ref="E31:E34"/>
    <mergeCell ref="F31:F34"/>
    <mergeCell ref="D29:D30"/>
    <mergeCell ref="E29:E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6857-3105-40FF-9D42-4D1A5B7F0C20}">
  <dimension ref="A1:I124"/>
  <sheetViews>
    <sheetView zoomScale="70" zoomScaleNormal="70" workbookViewId="0">
      <selection activeCell="B7" sqref="B7"/>
    </sheetView>
  </sheetViews>
  <sheetFormatPr defaultColWidth="11.25" defaultRowHeight="15.75" x14ac:dyDescent="0.25"/>
  <cols>
    <col min="1" max="1" width="4.625" customWidth="1"/>
    <col min="2" max="2" width="43.75" style="2" customWidth="1"/>
    <col min="3" max="3" width="73.125" style="2" customWidth="1"/>
    <col min="4" max="4" width="14.25" customWidth="1"/>
    <col min="5" max="7" width="23.625" customWidth="1"/>
    <col min="8" max="8" width="27.5" customWidth="1"/>
    <col min="9" max="9" width="21.75" customWidth="1"/>
  </cols>
  <sheetData>
    <row r="1" spans="1:9" ht="25.9" customHeight="1" x14ac:dyDescent="0.4">
      <c r="A1" s="46" t="s">
        <v>36</v>
      </c>
      <c r="B1" s="47"/>
      <c r="C1" s="47"/>
      <c r="D1" s="47"/>
      <c r="E1" s="47"/>
      <c r="F1" s="47"/>
      <c r="G1" s="47"/>
      <c r="H1" s="47"/>
      <c r="I1" s="47"/>
    </row>
    <row r="2" spans="1:9" ht="25.9" customHeight="1" x14ac:dyDescent="0.4">
      <c r="A2" s="19"/>
      <c r="B2" s="12" t="s">
        <v>3</v>
      </c>
      <c r="C2" s="12" t="s">
        <v>10</v>
      </c>
      <c r="D2" s="20">
        <f>E5+E9+E15+E19+E23</f>
        <v>0</v>
      </c>
      <c r="E2" s="48" t="s">
        <v>11</v>
      </c>
      <c r="F2" s="49"/>
      <c r="G2" s="21">
        <f>D2/B3</f>
        <v>0</v>
      </c>
      <c r="H2" s="22" t="s">
        <v>12</v>
      </c>
      <c r="I2" s="20">
        <f>I5+I9+I15+I19+I23</f>
        <v>0</v>
      </c>
    </row>
    <row r="3" spans="1:9" ht="25.9" customHeight="1" x14ac:dyDescent="0.4">
      <c r="A3" s="23"/>
      <c r="B3" s="24">
        <f>D5+D9+D15+D19+D23</f>
        <v>70</v>
      </c>
      <c r="C3" s="12" t="s">
        <v>13</v>
      </c>
      <c r="D3" s="25">
        <f>G5+G9+G15+G19+G23</f>
        <v>0</v>
      </c>
      <c r="E3" s="48" t="s">
        <v>14</v>
      </c>
      <c r="F3" s="49"/>
      <c r="G3" s="21">
        <f>D3/B3</f>
        <v>0</v>
      </c>
      <c r="H3" s="22" t="s">
        <v>15</v>
      </c>
      <c r="I3" s="21">
        <f>I2/B3</f>
        <v>0</v>
      </c>
    </row>
    <row r="4" spans="1:9" ht="21" x14ac:dyDescent="0.35">
      <c r="A4" s="13" t="s">
        <v>1</v>
      </c>
      <c r="B4" s="11" t="s">
        <v>0</v>
      </c>
      <c r="C4" s="11" t="s">
        <v>2</v>
      </c>
      <c r="D4" s="15" t="s">
        <v>6</v>
      </c>
      <c r="E4" s="13" t="s">
        <v>16</v>
      </c>
      <c r="F4" s="17" t="s">
        <v>17</v>
      </c>
      <c r="G4" s="16" t="s">
        <v>18</v>
      </c>
      <c r="H4" s="17" t="s">
        <v>19</v>
      </c>
      <c r="I4" s="16" t="s">
        <v>20</v>
      </c>
    </row>
    <row r="5" spans="1:9" ht="26.25" customHeight="1" x14ac:dyDescent="0.3">
      <c r="A5" s="1">
        <v>1</v>
      </c>
      <c r="B5" s="5" t="s">
        <v>40</v>
      </c>
      <c r="C5" s="3"/>
      <c r="D5" s="50">
        <v>15</v>
      </c>
      <c r="E5" s="53">
        <v>0</v>
      </c>
      <c r="F5" s="56" t="s">
        <v>22</v>
      </c>
      <c r="G5" s="59">
        <v>0</v>
      </c>
      <c r="H5" s="62" t="s">
        <v>22</v>
      </c>
      <c r="I5" s="65">
        <v>0</v>
      </c>
    </row>
    <row r="6" spans="1:9" ht="26.25" customHeight="1" x14ac:dyDescent="0.3">
      <c r="A6" s="1"/>
      <c r="B6" s="3"/>
      <c r="C6" s="3" t="s">
        <v>58</v>
      </c>
      <c r="D6" s="51"/>
      <c r="E6" s="54"/>
      <c r="F6" s="57"/>
      <c r="G6" s="60"/>
      <c r="H6" s="63"/>
      <c r="I6" s="66"/>
    </row>
    <row r="7" spans="1:9" ht="38.25" customHeight="1" x14ac:dyDescent="0.3">
      <c r="A7" s="1"/>
      <c r="B7" s="3"/>
      <c r="C7" s="14" t="s">
        <v>41</v>
      </c>
      <c r="D7" s="51"/>
      <c r="E7" s="54"/>
      <c r="F7" s="57"/>
      <c r="G7" s="60"/>
      <c r="H7" s="63"/>
      <c r="I7" s="66"/>
    </row>
    <row r="8" spans="1:9" ht="38.25" customHeight="1" x14ac:dyDescent="0.3">
      <c r="A8" s="1"/>
      <c r="B8" s="3"/>
      <c r="C8" s="30" t="s">
        <v>42</v>
      </c>
      <c r="D8" s="51"/>
      <c r="E8" s="54"/>
      <c r="F8" s="57"/>
      <c r="G8" s="60"/>
      <c r="H8" s="63"/>
      <c r="I8" s="66"/>
    </row>
    <row r="9" spans="1:9" ht="26.25" customHeight="1" x14ac:dyDescent="0.3">
      <c r="A9" s="1">
        <v>2</v>
      </c>
      <c r="B9" s="6" t="s">
        <v>43</v>
      </c>
      <c r="C9" s="3"/>
      <c r="D9" s="50">
        <v>10</v>
      </c>
      <c r="E9" s="53">
        <v>0</v>
      </c>
      <c r="F9" s="56" t="s">
        <v>22</v>
      </c>
      <c r="G9" s="59">
        <v>0</v>
      </c>
      <c r="H9" s="62" t="s">
        <v>22</v>
      </c>
      <c r="I9" s="65">
        <v>0</v>
      </c>
    </row>
    <row r="10" spans="1:9" ht="40.5" customHeight="1" x14ac:dyDescent="0.25">
      <c r="A10" s="34"/>
      <c r="B10" s="36"/>
      <c r="C10" s="31" t="s">
        <v>44</v>
      </c>
      <c r="D10" s="51"/>
      <c r="E10" s="54"/>
      <c r="F10" s="57"/>
      <c r="G10" s="60"/>
      <c r="H10" s="63"/>
      <c r="I10" s="66"/>
    </row>
    <row r="11" spans="1:9" ht="45.75" customHeight="1" x14ac:dyDescent="0.3">
      <c r="A11" s="70"/>
      <c r="B11" s="74"/>
      <c r="C11" s="14" t="s">
        <v>45</v>
      </c>
      <c r="D11" s="51"/>
      <c r="E11" s="54"/>
      <c r="F11" s="57"/>
      <c r="G11" s="60"/>
      <c r="H11" s="63"/>
      <c r="I11" s="66"/>
    </row>
    <row r="12" spans="1:9" ht="26.25" customHeight="1" x14ac:dyDescent="0.25">
      <c r="A12" s="70"/>
      <c r="B12" s="74"/>
      <c r="C12" s="32" t="s">
        <v>46</v>
      </c>
      <c r="D12" s="51"/>
      <c r="E12" s="54"/>
      <c r="F12" s="57"/>
      <c r="G12" s="60"/>
      <c r="H12" s="63"/>
      <c r="I12" s="66"/>
    </row>
    <row r="13" spans="1:9" ht="26.25" customHeight="1" x14ac:dyDescent="0.25">
      <c r="A13" s="70"/>
      <c r="B13" s="74"/>
      <c r="C13" s="32" t="s">
        <v>47</v>
      </c>
      <c r="D13" s="51"/>
      <c r="E13" s="54"/>
      <c r="F13" s="57"/>
      <c r="G13" s="60"/>
      <c r="H13" s="63"/>
      <c r="I13" s="66"/>
    </row>
    <row r="14" spans="1:9" ht="26.25" customHeight="1" x14ac:dyDescent="0.25">
      <c r="A14" s="70"/>
      <c r="B14" s="74"/>
      <c r="C14" s="32" t="s">
        <v>48</v>
      </c>
      <c r="D14" s="51"/>
      <c r="E14" s="54"/>
      <c r="F14" s="57"/>
      <c r="G14" s="60"/>
      <c r="H14" s="63"/>
      <c r="I14" s="66"/>
    </row>
    <row r="15" spans="1:9" ht="26.25" customHeight="1" x14ac:dyDescent="0.3">
      <c r="A15" s="1">
        <v>3</v>
      </c>
      <c r="B15" s="5" t="s">
        <v>49</v>
      </c>
      <c r="C15" s="9"/>
      <c r="D15" s="50">
        <v>20</v>
      </c>
      <c r="E15" s="53">
        <v>0</v>
      </c>
      <c r="F15" s="56" t="s">
        <v>22</v>
      </c>
      <c r="G15" s="59">
        <v>0</v>
      </c>
      <c r="H15" s="62" t="s">
        <v>22</v>
      </c>
      <c r="I15" s="65">
        <v>0</v>
      </c>
    </row>
    <row r="16" spans="1:9" ht="18.75" x14ac:dyDescent="0.25">
      <c r="A16" s="70"/>
      <c r="B16" s="74"/>
      <c r="C16" s="32" t="s">
        <v>50</v>
      </c>
      <c r="D16" s="51"/>
      <c r="E16" s="54"/>
      <c r="F16" s="57"/>
      <c r="G16" s="60"/>
      <c r="H16" s="63"/>
      <c r="I16" s="66"/>
    </row>
    <row r="17" spans="1:9" ht="18.75" x14ac:dyDescent="0.25">
      <c r="A17" s="70"/>
      <c r="B17" s="74"/>
      <c r="C17" s="32" t="s">
        <v>60</v>
      </c>
      <c r="D17" s="51"/>
      <c r="E17" s="54"/>
      <c r="F17" s="57"/>
      <c r="G17" s="60"/>
      <c r="H17" s="63"/>
      <c r="I17" s="66"/>
    </row>
    <row r="18" spans="1:9" s="33" customFormat="1" ht="26.25" customHeight="1" x14ac:dyDescent="0.25">
      <c r="A18" s="70"/>
      <c r="B18" s="74"/>
      <c r="C18" s="32" t="s">
        <v>51</v>
      </c>
      <c r="D18" s="51"/>
      <c r="E18" s="54"/>
      <c r="F18" s="58"/>
      <c r="G18" s="61"/>
      <c r="H18" s="63"/>
      <c r="I18" s="66"/>
    </row>
    <row r="19" spans="1:9" ht="26.25" customHeight="1" x14ac:dyDescent="0.3">
      <c r="A19" s="1">
        <v>4</v>
      </c>
      <c r="B19" s="6" t="s">
        <v>52</v>
      </c>
      <c r="C19" s="9"/>
      <c r="D19" s="50">
        <v>20</v>
      </c>
      <c r="E19" s="53">
        <v>0</v>
      </c>
      <c r="F19" s="56" t="s">
        <v>22</v>
      </c>
      <c r="G19" s="59">
        <v>0</v>
      </c>
      <c r="H19" s="62" t="s">
        <v>22</v>
      </c>
      <c r="I19" s="65">
        <v>0</v>
      </c>
    </row>
    <row r="20" spans="1:9" ht="18.75" x14ac:dyDescent="0.3">
      <c r="A20" s="34"/>
      <c r="B20" s="71"/>
      <c r="C20" s="9" t="s">
        <v>53</v>
      </c>
      <c r="D20" s="51"/>
      <c r="E20" s="54"/>
      <c r="F20" s="57"/>
      <c r="G20" s="60"/>
      <c r="H20" s="63"/>
      <c r="I20" s="66"/>
    </row>
    <row r="21" spans="1:9" ht="18.75" x14ac:dyDescent="0.3">
      <c r="A21" s="70"/>
      <c r="B21" s="72"/>
      <c r="C21" s="9" t="s">
        <v>59</v>
      </c>
      <c r="D21" s="51"/>
      <c r="E21" s="54"/>
      <c r="F21" s="57"/>
      <c r="G21" s="60"/>
      <c r="H21" s="63"/>
      <c r="I21" s="66"/>
    </row>
    <row r="22" spans="1:9" ht="18.75" x14ac:dyDescent="0.3">
      <c r="A22" s="35"/>
      <c r="B22" s="73"/>
      <c r="C22" s="9" t="s">
        <v>54</v>
      </c>
      <c r="D22" s="51"/>
      <c r="E22" s="54"/>
      <c r="F22" s="58"/>
      <c r="G22" s="61"/>
      <c r="H22" s="63"/>
      <c r="I22" s="66"/>
    </row>
    <row r="23" spans="1:9" ht="66.75" customHeight="1" x14ac:dyDescent="0.3">
      <c r="A23" s="1">
        <v>5</v>
      </c>
      <c r="B23" s="5" t="s">
        <v>55</v>
      </c>
      <c r="C23" s="3"/>
      <c r="D23" s="38">
        <v>5</v>
      </c>
      <c r="E23" s="39">
        <v>0</v>
      </c>
      <c r="F23" s="40" t="s">
        <v>22</v>
      </c>
      <c r="G23" s="43">
        <v>0</v>
      </c>
      <c r="H23" s="44" t="s">
        <v>22</v>
      </c>
      <c r="I23" s="45">
        <v>0</v>
      </c>
    </row>
    <row r="24" spans="1:9" ht="18.75" customHeight="1" x14ac:dyDescent="0.3">
      <c r="A24" s="34"/>
      <c r="B24" s="36"/>
      <c r="C24" s="3" t="s">
        <v>56</v>
      </c>
      <c r="D24" s="38"/>
      <c r="E24" s="39"/>
      <c r="F24" s="40"/>
      <c r="G24" s="43"/>
      <c r="H24" s="44"/>
      <c r="I24" s="45"/>
    </row>
    <row r="25" spans="1:9" ht="18.75" x14ac:dyDescent="0.3">
      <c r="A25" s="35"/>
      <c r="B25" s="37"/>
      <c r="C25" s="3" t="s">
        <v>57</v>
      </c>
      <c r="D25" s="38"/>
      <c r="E25" s="39"/>
      <c r="F25" s="40"/>
      <c r="G25" s="43"/>
      <c r="H25" s="44"/>
      <c r="I25" s="45"/>
    </row>
    <row r="113" spans="2:3" x14ac:dyDescent="0.25">
      <c r="B113" s="2" t="s">
        <v>4</v>
      </c>
      <c r="C113" s="2" t="s">
        <v>5</v>
      </c>
    </row>
    <row r="115" spans="2:3" x14ac:dyDescent="0.25">
      <c r="B115" s="2">
        <v>1</v>
      </c>
      <c r="C115" s="2">
        <v>1</v>
      </c>
    </row>
    <row r="116" spans="2:3" x14ac:dyDescent="0.25">
      <c r="B116" s="2">
        <v>2</v>
      </c>
      <c r="C116" s="2">
        <v>2</v>
      </c>
    </row>
    <row r="117" spans="2:3" x14ac:dyDescent="0.25">
      <c r="B117" s="2">
        <v>3</v>
      </c>
      <c r="C117" s="2">
        <v>3</v>
      </c>
    </row>
    <row r="118" spans="2:3" x14ac:dyDescent="0.25">
      <c r="B118" s="2">
        <v>4</v>
      </c>
      <c r="C118" s="2">
        <v>4</v>
      </c>
    </row>
    <row r="119" spans="2:3" x14ac:dyDescent="0.25">
      <c r="B119" s="2">
        <v>5</v>
      </c>
      <c r="C119" s="2">
        <v>5</v>
      </c>
    </row>
    <row r="120" spans="2:3" x14ac:dyDescent="0.25">
      <c r="B120" s="2">
        <v>6</v>
      </c>
      <c r="C120" s="2">
        <v>6</v>
      </c>
    </row>
    <row r="121" spans="2:3" x14ac:dyDescent="0.25">
      <c r="B121" s="2">
        <v>7</v>
      </c>
      <c r="C121" s="2">
        <v>7</v>
      </c>
    </row>
    <row r="122" spans="2:3" x14ac:dyDescent="0.25">
      <c r="B122" s="2">
        <v>8</v>
      </c>
      <c r="C122" s="2">
        <v>8</v>
      </c>
    </row>
    <row r="123" spans="2:3" x14ac:dyDescent="0.25">
      <c r="B123" s="2">
        <v>9</v>
      </c>
      <c r="C123" s="2">
        <v>9</v>
      </c>
    </row>
    <row r="124" spans="2:3" x14ac:dyDescent="0.25">
      <c r="B124" s="2">
        <v>10</v>
      </c>
      <c r="C124" s="2">
        <v>10</v>
      </c>
    </row>
  </sheetData>
  <mergeCells count="41">
    <mergeCell ref="F15:F18"/>
    <mergeCell ref="A1:I1"/>
    <mergeCell ref="E2:F2"/>
    <mergeCell ref="E3:F3"/>
    <mergeCell ref="A16:A18"/>
    <mergeCell ref="B16:B18"/>
    <mergeCell ref="D15:D18"/>
    <mergeCell ref="E15:E18"/>
    <mergeCell ref="G9:G14"/>
    <mergeCell ref="H9:H14"/>
    <mergeCell ref="D5:D8"/>
    <mergeCell ref="E5:E8"/>
    <mergeCell ref="F5:F8"/>
    <mergeCell ref="G5:G8"/>
    <mergeCell ref="G15:G18"/>
    <mergeCell ref="H15:H18"/>
    <mergeCell ref="I15:I18"/>
    <mergeCell ref="I5:I8"/>
    <mergeCell ref="I9:I14"/>
    <mergeCell ref="I23:I25"/>
    <mergeCell ref="A24:A25"/>
    <mergeCell ref="B24:B25"/>
    <mergeCell ref="D19:D22"/>
    <mergeCell ref="E19:E22"/>
    <mergeCell ref="F19:F22"/>
    <mergeCell ref="G19:G22"/>
    <mergeCell ref="H19:H22"/>
    <mergeCell ref="D23:D25"/>
    <mergeCell ref="E23:E25"/>
    <mergeCell ref="F23:F25"/>
    <mergeCell ref="G23:G25"/>
    <mergeCell ref="H23:H25"/>
    <mergeCell ref="I19:I22"/>
    <mergeCell ref="A20:A22"/>
    <mergeCell ref="B20:B22"/>
    <mergeCell ref="H5:H8"/>
    <mergeCell ref="A10:A14"/>
    <mergeCell ref="B10:B14"/>
    <mergeCell ref="D9:D14"/>
    <mergeCell ref="E9:E14"/>
    <mergeCell ref="F9:F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3EE-1BED-466F-9AB4-C187E5D0B570}">
  <dimension ref="A1:I109"/>
  <sheetViews>
    <sheetView zoomScale="70" zoomScaleNormal="70" workbookViewId="0">
      <selection activeCell="C18" sqref="C18"/>
    </sheetView>
  </sheetViews>
  <sheetFormatPr defaultColWidth="11.25" defaultRowHeight="15.75" x14ac:dyDescent="0.25"/>
  <cols>
    <col min="1" max="1" width="4.625" customWidth="1"/>
    <col min="2" max="2" width="43.75" style="2" customWidth="1"/>
    <col min="3" max="3" width="73.125" style="2" customWidth="1"/>
    <col min="4" max="4" width="14.25" customWidth="1"/>
    <col min="5" max="7" width="23.625" customWidth="1"/>
    <col min="8" max="8" width="27.5" customWidth="1"/>
    <col min="9" max="9" width="21.75" customWidth="1"/>
  </cols>
  <sheetData>
    <row r="1" spans="1:9" ht="25.9" customHeight="1" x14ac:dyDescent="0.4">
      <c r="A1" s="46" t="s">
        <v>87</v>
      </c>
      <c r="B1" s="47"/>
      <c r="C1" s="47"/>
      <c r="D1" s="47"/>
      <c r="E1" s="47"/>
      <c r="F1" s="47"/>
      <c r="G1" s="47"/>
      <c r="H1" s="47"/>
      <c r="I1" s="47"/>
    </row>
    <row r="2" spans="1:9" ht="25.9" customHeight="1" x14ac:dyDescent="0.4">
      <c r="A2" s="19"/>
      <c r="B2" s="12" t="s">
        <v>3</v>
      </c>
      <c r="C2" s="12" t="s">
        <v>10</v>
      </c>
      <c r="D2" s="20">
        <f>E5+E8</f>
        <v>0</v>
      </c>
      <c r="E2" s="48" t="s">
        <v>11</v>
      </c>
      <c r="F2" s="49"/>
      <c r="G2" s="21">
        <f>D2/B3</f>
        <v>0</v>
      </c>
      <c r="H2" s="22" t="s">
        <v>12</v>
      </c>
      <c r="I2" s="20">
        <f>I5+I8</f>
        <v>0</v>
      </c>
    </row>
    <row r="3" spans="1:9" ht="25.9" customHeight="1" x14ac:dyDescent="0.4">
      <c r="A3" s="23"/>
      <c r="B3" s="24">
        <f>D5+D8</f>
        <v>30</v>
      </c>
      <c r="C3" s="12" t="s">
        <v>13</v>
      </c>
      <c r="D3" s="25">
        <f>G5+G8</f>
        <v>0</v>
      </c>
      <c r="E3" s="48" t="s">
        <v>14</v>
      </c>
      <c r="F3" s="49"/>
      <c r="G3" s="21">
        <f>D3/B3</f>
        <v>0</v>
      </c>
      <c r="H3" s="22" t="s">
        <v>15</v>
      </c>
      <c r="I3" s="21">
        <f>I2/B3</f>
        <v>0</v>
      </c>
    </row>
    <row r="4" spans="1:9" s="2" customFormat="1" ht="42" x14ac:dyDescent="0.35">
      <c r="A4" s="15" t="s">
        <v>1</v>
      </c>
      <c r="B4" s="11" t="s">
        <v>0</v>
      </c>
      <c r="C4" s="11" t="s">
        <v>2</v>
      </c>
      <c r="D4" s="15" t="s">
        <v>6</v>
      </c>
      <c r="E4" s="15" t="s">
        <v>16</v>
      </c>
      <c r="F4" s="28" t="s">
        <v>17</v>
      </c>
      <c r="G4" s="29" t="s">
        <v>38</v>
      </c>
      <c r="H4" s="28" t="s">
        <v>39</v>
      </c>
      <c r="I4" s="29" t="s">
        <v>20</v>
      </c>
    </row>
    <row r="5" spans="1:9" ht="26.25" customHeight="1" x14ac:dyDescent="0.3">
      <c r="A5" s="1">
        <v>1</v>
      </c>
      <c r="B5" s="5" t="s">
        <v>43</v>
      </c>
      <c r="C5" s="3"/>
      <c r="D5" s="50">
        <v>15</v>
      </c>
      <c r="E5" s="53">
        <v>0</v>
      </c>
      <c r="F5" s="56" t="s">
        <v>22</v>
      </c>
      <c r="G5" s="59">
        <v>0</v>
      </c>
      <c r="H5" s="62" t="s">
        <v>22</v>
      </c>
      <c r="I5" s="65">
        <v>0</v>
      </c>
    </row>
    <row r="6" spans="1:9" ht="38.25" customHeight="1" x14ac:dyDescent="0.3">
      <c r="A6" s="34"/>
      <c r="B6" s="36"/>
      <c r="C6" s="14" t="s">
        <v>44</v>
      </c>
      <c r="D6" s="51"/>
      <c r="E6" s="54"/>
      <c r="F6" s="57"/>
      <c r="G6" s="60"/>
      <c r="H6" s="63"/>
      <c r="I6" s="66"/>
    </row>
    <row r="7" spans="1:9" ht="40.5" customHeight="1" x14ac:dyDescent="0.3">
      <c r="A7" s="35"/>
      <c r="B7" s="37"/>
      <c r="C7" s="4" t="s">
        <v>46</v>
      </c>
      <c r="D7" s="52"/>
      <c r="E7" s="55"/>
      <c r="F7" s="58"/>
      <c r="G7" s="61"/>
      <c r="H7" s="64"/>
      <c r="I7" s="67"/>
    </row>
    <row r="8" spans="1:9" ht="26.25" customHeight="1" x14ac:dyDescent="0.3">
      <c r="A8" s="1">
        <v>2</v>
      </c>
      <c r="B8" s="6" t="s">
        <v>88</v>
      </c>
      <c r="C8" s="3"/>
      <c r="D8" s="38">
        <v>15</v>
      </c>
      <c r="E8" s="39">
        <v>0</v>
      </c>
      <c r="F8" s="40" t="s">
        <v>22</v>
      </c>
      <c r="G8" s="43">
        <v>0</v>
      </c>
      <c r="H8" s="44" t="s">
        <v>22</v>
      </c>
      <c r="I8" s="45">
        <v>0</v>
      </c>
    </row>
    <row r="9" spans="1:9" ht="40.5" customHeight="1" x14ac:dyDescent="0.25">
      <c r="A9" s="41"/>
      <c r="B9" s="42"/>
      <c r="C9" s="31" t="s">
        <v>89</v>
      </c>
      <c r="D9" s="38"/>
      <c r="E9" s="39"/>
      <c r="F9" s="40"/>
      <c r="G9" s="43"/>
      <c r="H9" s="44"/>
      <c r="I9" s="45"/>
    </row>
    <row r="10" spans="1:9" ht="26.25" customHeight="1" x14ac:dyDescent="0.25">
      <c r="A10" s="41"/>
      <c r="B10" s="42"/>
      <c r="C10" s="26"/>
      <c r="D10" s="38"/>
      <c r="E10" s="39"/>
      <c r="F10" s="40"/>
      <c r="G10" s="43"/>
      <c r="H10" s="44"/>
      <c r="I10" s="45"/>
    </row>
    <row r="98" spans="2:3" x14ac:dyDescent="0.25">
      <c r="B98" s="2" t="s">
        <v>4</v>
      </c>
      <c r="C98" s="2" t="s">
        <v>5</v>
      </c>
    </row>
    <row r="100" spans="2:3" x14ac:dyDescent="0.25">
      <c r="B100" s="2">
        <v>1</v>
      </c>
      <c r="C100" s="2">
        <v>1</v>
      </c>
    </row>
    <row r="101" spans="2:3" x14ac:dyDescent="0.25">
      <c r="B101" s="2">
        <v>2</v>
      </c>
      <c r="C101" s="2">
        <v>2</v>
      </c>
    </row>
    <row r="102" spans="2:3" x14ac:dyDescent="0.25">
      <c r="B102" s="2">
        <v>3</v>
      </c>
      <c r="C102" s="2">
        <v>3</v>
      </c>
    </row>
    <row r="103" spans="2:3" x14ac:dyDescent="0.25">
      <c r="B103" s="2">
        <v>4</v>
      </c>
      <c r="C103" s="2">
        <v>4</v>
      </c>
    </row>
    <row r="104" spans="2:3" x14ac:dyDescent="0.25">
      <c r="B104" s="2">
        <v>5</v>
      </c>
      <c r="C104" s="2">
        <v>5</v>
      </c>
    </row>
    <row r="105" spans="2:3" x14ac:dyDescent="0.25">
      <c r="B105" s="2">
        <v>6</v>
      </c>
      <c r="C105" s="2">
        <v>6</v>
      </c>
    </row>
    <row r="106" spans="2:3" x14ac:dyDescent="0.25">
      <c r="B106" s="2">
        <v>7</v>
      </c>
      <c r="C106" s="2">
        <v>7</v>
      </c>
    </row>
    <row r="107" spans="2:3" x14ac:dyDescent="0.25">
      <c r="B107" s="2">
        <v>8</v>
      </c>
      <c r="C107" s="2">
        <v>8</v>
      </c>
    </row>
    <row r="108" spans="2:3" x14ac:dyDescent="0.25">
      <c r="B108" s="2">
        <v>9</v>
      </c>
      <c r="C108" s="2">
        <v>9</v>
      </c>
    </row>
    <row r="109" spans="2:3" x14ac:dyDescent="0.25">
      <c r="B109" s="2">
        <v>10</v>
      </c>
      <c r="C109" s="2">
        <v>10</v>
      </c>
    </row>
  </sheetData>
  <mergeCells count="19">
    <mergeCell ref="G8:G10"/>
    <mergeCell ref="H8:H10"/>
    <mergeCell ref="I8:I10"/>
    <mergeCell ref="A1:I1"/>
    <mergeCell ref="E2:F2"/>
    <mergeCell ref="E3:F3"/>
    <mergeCell ref="D5:D7"/>
    <mergeCell ref="E5:E7"/>
    <mergeCell ref="F5:F7"/>
    <mergeCell ref="G5:G7"/>
    <mergeCell ref="H5:H7"/>
    <mergeCell ref="I5:I7"/>
    <mergeCell ref="A6:A7"/>
    <mergeCell ref="B6:B7"/>
    <mergeCell ref="D8:D10"/>
    <mergeCell ref="E8:E10"/>
    <mergeCell ref="F8:F10"/>
    <mergeCell ref="A9:A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Olaide Balogun</vt:lpstr>
      <vt:lpstr>GENERAL</vt:lpstr>
      <vt:lpstr>SUCCESS FACTORS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Busayo Ayenimo</dc:creator>
  <cp:lastModifiedBy>adelola alao</cp:lastModifiedBy>
  <dcterms:created xsi:type="dcterms:W3CDTF">2022-09-28T08:32:00Z</dcterms:created>
  <dcterms:modified xsi:type="dcterms:W3CDTF">2026-01-27T11:50:48Z</dcterms:modified>
</cp:coreProperties>
</file>